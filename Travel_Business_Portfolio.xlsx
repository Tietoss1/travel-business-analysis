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Sheet1!$B$1:$B$20</definedName>
  </definedNames>
  <calcPr calcId="145621"/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O5" i="1"/>
  <c r="O4" i="1"/>
  <c r="O3" i="1"/>
  <c r="O2" i="1"/>
  <c r="M3" i="1"/>
  <c r="M4" i="1"/>
  <c r="M5" i="1"/>
  <c r="M6" i="1"/>
  <c r="M7" i="1"/>
  <c r="M8" i="1"/>
  <c r="M9" i="1"/>
  <c r="M10" i="1"/>
  <c r="M11" i="1"/>
  <c r="M2" i="1"/>
  <c r="G17" i="1" l="1"/>
  <c r="G18" i="1"/>
  <c r="G20" i="1"/>
  <c r="G19" i="1"/>
  <c r="L5" i="1" l="1"/>
  <c r="L2" i="1"/>
  <c r="K11" i="1" l="1"/>
  <c r="K10" i="1"/>
  <c r="K9" i="1"/>
  <c r="K8" i="1"/>
  <c r="K7" i="1"/>
  <c r="K5" i="1"/>
  <c r="K4" i="1"/>
  <c r="K3" i="1"/>
  <c r="K6" i="1"/>
  <c r="K2" i="1"/>
  <c r="J3" i="1"/>
  <c r="J4" i="1"/>
  <c r="J5" i="1"/>
  <c r="J6" i="1"/>
  <c r="J7" i="1"/>
  <c r="J8" i="1"/>
  <c r="J9" i="1"/>
  <c r="J10" i="1"/>
  <c r="J11" i="1"/>
  <c r="J2" i="1"/>
  <c r="C13" i="1" l="1"/>
  <c r="C12" i="1"/>
  <c r="F12" i="1"/>
  <c r="G8" i="1" l="1"/>
  <c r="G3" i="1"/>
  <c r="G11" i="1"/>
  <c r="G10" i="1"/>
  <c r="G5" i="1"/>
  <c r="G4" i="1"/>
  <c r="G9" i="1"/>
  <c r="G7" i="1"/>
  <c r="G6" i="1"/>
  <c r="C14" i="1"/>
  <c r="D12" i="1"/>
  <c r="G2" i="1" s="1"/>
  <c r="E8" i="1"/>
  <c r="E3" i="1"/>
  <c r="E11" i="1"/>
  <c r="E10" i="1"/>
  <c r="E5" i="1"/>
  <c r="E4" i="1"/>
  <c r="E9" i="1"/>
  <c r="E7" i="1"/>
  <c r="E2" i="1"/>
  <c r="E6" i="1"/>
  <c r="E12" i="1" l="1"/>
  <c r="G12" i="1"/>
  <c r="H10" i="1"/>
  <c r="I10" i="1" s="1"/>
  <c r="H7" i="1"/>
  <c r="I7" i="1" s="1"/>
  <c r="H3" i="1"/>
  <c r="I3" i="1" s="1"/>
  <c r="H6" i="1"/>
  <c r="I6" i="1" s="1"/>
  <c r="H5" i="1"/>
  <c r="I5" i="1" s="1"/>
  <c r="H11" i="1"/>
  <c r="I11" i="1" s="1"/>
  <c r="H2" i="1"/>
  <c r="I2" i="1" s="1"/>
  <c r="H4" i="1"/>
  <c r="I4" i="1" s="1"/>
  <c r="H9" i="1"/>
  <c r="I9" i="1" s="1"/>
  <c r="H8" i="1"/>
  <c r="I8" i="1" s="1"/>
  <c r="H12" i="1" l="1"/>
</calcChain>
</file>

<file path=xl/sharedStrings.xml><?xml version="1.0" encoding="utf-8"?>
<sst xmlns="http://schemas.openxmlformats.org/spreadsheetml/2006/main" count="71" uniqueCount="57">
  <si>
    <t>Customer</t>
  </si>
  <si>
    <t>Total sales</t>
  </si>
  <si>
    <t>John</t>
  </si>
  <si>
    <t>Mary</t>
  </si>
  <si>
    <t>David</t>
  </si>
  <si>
    <t>Sarah</t>
  </si>
  <si>
    <t>Peter</t>
  </si>
  <si>
    <t>James</t>
  </si>
  <si>
    <t>Grace</t>
  </si>
  <si>
    <t>Michael</t>
  </si>
  <si>
    <t>Linda</t>
  </si>
  <si>
    <t>Daniel</t>
  </si>
  <si>
    <t>London</t>
  </si>
  <si>
    <t>Dubai</t>
  </si>
  <si>
    <t>Accra</t>
  </si>
  <si>
    <t>Paris</t>
  </si>
  <si>
    <t>Cost per Ticket</t>
  </si>
  <si>
    <t>Total Cost</t>
  </si>
  <si>
    <t>Number of Tickets</t>
  </si>
  <si>
    <t>Profit</t>
  </si>
  <si>
    <t>Profit Margin</t>
  </si>
  <si>
    <t>Ticket Price</t>
  </si>
  <si>
    <t>Destination</t>
  </si>
  <si>
    <t>Tickets</t>
  </si>
  <si>
    <t>Sales</t>
  </si>
  <si>
    <t>Margin</t>
  </si>
  <si>
    <t>TOTAL TICKETS:26</t>
  </si>
  <si>
    <t>TOTAL SALES:17850000</t>
  </si>
  <si>
    <t>TOTAL PROFIT:3490000</t>
  </si>
  <si>
    <t>AVERAGE TICKET PRICE:700000</t>
  </si>
  <si>
    <t>HIGHEST PROFIT DESTINATION:Paris</t>
  </si>
  <si>
    <t>HIGHEST MARGIN DESTINATION:Dubai</t>
  </si>
  <si>
    <t>Tickets by destination:London-9,Accra-7.paris-5,dubai-5</t>
  </si>
  <si>
    <t>Average customer profit</t>
  </si>
  <si>
    <r>
      <rPr>
        <sz val="11"/>
        <color theme="1"/>
        <rFont val="Calibri"/>
        <family val="2"/>
      </rPr>
      <t>₦</t>
    </r>
    <r>
      <rPr>
        <sz val="11"/>
        <color theme="1"/>
        <rFont val="Calibri"/>
        <family val="2"/>
        <charset val="1"/>
      </rPr>
      <t>450000</t>
    </r>
  </si>
  <si>
    <r>
      <rPr>
        <sz val="11"/>
        <color theme="1"/>
        <rFont val="Calibri"/>
        <family val="2"/>
      </rPr>
      <t>₦</t>
    </r>
    <r>
      <rPr>
        <sz val="11"/>
        <color theme="1"/>
        <rFont val="Calibri"/>
        <family val="2"/>
        <charset val="1"/>
      </rPr>
      <t>245000</t>
    </r>
  </si>
  <si>
    <r>
      <rPr>
        <sz val="11"/>
        <color theme="1"/>
        <rFont val="Calibri"/>
        <family val="2"/>
      </rPr>
      <t>₦</t>
    </r>
    <r>
      <rPr>
        <sz val="11"/>
        <color theme="1"/>
        <rFont val="Calibri"/>
        <family val="2"/>
        <charset val="1"/>
      </rPr>
      <t>250000</t>
    </r>
  </si>
  <si>
    <t>Profit Status</t>
  </si>
  <si>
    <t>Destination Profit</t>
  </si>
  <si>
    <t>TOTAL</t>
  </si>
  <si>
    <t>Profit Rank</t>
  </si>
  <si>
    <t>Performance status</t>
  </si>
  <si>
    <t>Duplicate check</t>
  </si>
  <si>
    <t>Check</t>
  </si>
  <si>
    <t>Missing destinations</t>
  </si>
  <si>
    <t>Missing ticket count</t>
  </si>
  <si>
    <t>Missing sales</t>
  </si>
  <si>
    <t>Missing profit</t>
  </si>
  <si>
    <t>Total tickets</t>
  </si>
  <si>
    <t>Result</t>
  </si>
  <si>
    <t>Total profit</t>
  </si>
  <si>
    <t>TRAVEL BUSINESS PERFORMANCE REPORT</t>
  </si>
  <si>
    <t>Toatal Tickets</t>
  </si>
  <si>
    <t>Total Sales</t>
  </si>
  <si>
    <t>Total Profit</t>
  </si>
  <si>
    <t>Average Destination Profit</t>
  </si>
  <si>
    <t>Overall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</si>
</sst>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9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59951881014873"/>
          <c:y val="5.1400554097404488E-2"/>
          <c:w val="0.65362357830271212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Sheet1!$B$1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invertIfNegative val="0"/>
          <c:val>
            <c:numRef>
              <c:f>Sheet1!$B$1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invertIfNegative val="0"/>
          <c:val>
            <c:numRef>
              <c:f>Sheet1!$B$2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invertIfNegative val="0"/>
          <c:val>
            <c:numRef>
              <c:f>Sheet1!$B$3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invertIfNegative val="0"/>
          <c:val>
            <c:numRef>
              <c:f>Sheet1!$B$4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invertIfNegative val="0"/>
          <c:val>
            <c:numRef>
              <c:f>Sheet1!$B$5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invertIfNegative val="0"/>
          <c:val>
            <c:numRef>
              <c:f>Sheet1!$B$6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invertIfNegative val="0"/>
          <c:val>
            <c:numRef>
              <c:f>Sheet1!$B$7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invertIfNegative val="0"/>
          <c:val>
            <c:numRef>
              <c:f>Sheet1!$B$9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invertIfNegative val="0"/>
          <c:val>
            <c:numRef>
              <c:f>Sheet1!$B$8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invertIfNegative val="0"/>
          <c:val>
            <c:numRef>
              <c:f>Sheet1!$B$10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invertIfNegative val="0"/>
          <c:val>
            <c:numRef>
              <c:f>Sheet1!$B$11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2"/>
          <c:order val="12"/>
          <c:invertIfNegative val="0"/>
          <c:val>
            <c:numRef>
              <c:f>Sheet1!$B$8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3"/>
          <c:order val="13"/>
          <c:invertIfNegative val="0"/>
          <c:val>
            <c:numRef>
              <c:f>Sheet1!$B$11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4"/>
          <c:order val="14"/>
          <c:invertIfNegative val="0"/>
          <c:val>
            <c:numRef>
              <c:f>Sheet1!$E$2</c:f>
              <c:numCache>
                <c:formatCode>General</c:formatCode>
                <c:ptCount val="1"/>
                <c:pt idx="0">
                  <c:v>4250000</c:v>
                </c:pt>
              </c:numCache>
            </c:numRef>
          </c:val>
        </c:ser>
        <c:ser>
          <c:idx val="15"/>
          <c:order val="15"/>
          <c:invertIfNegative val="0"/>
          <c:val>
            <c:numRef>
              <c:f>Sheet1!$E$1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invertIfNegative val="0"/>
          <c:val>
            <c:numRef>
              <c:f>Sheet1!$E$3</c:f>
              <c:numCache>
                <c:formatCode>General</c:formatCode>
                <c:ptCount val="1"/>
                <c:pt idx="0">
                  <c:v>1400000</c:v>
                </c:pt>
              </c:numCache>
            </c:numRef>
          </c:val>
        </c:ser>
        <c:ser>
          <c:idx val="17"/>
          <c:order val="17"/>
          <c:invertIfNegative val="0"/>
          <c:val>
            <c:numRef>
              <c:f>Sheet1!$E$4</c:f>
              <c:numCache>
                <c:formatCode>General</c:formatCode>
                <c:ptCount val="1"/>
                <c:pt idx="0">
                  <c:v>1050000</c:v>
                </c:pt>
              </c:numCache>
            </c:numRef>
          </c:val>
        </c:ser>
        <c:ser>
          <c:idx val="18"/>
          <c:order val="18"/>
          <c:invertIfNegative val="0"/>
          <c:val>
            <c:numRef>
              <c:f>Sheet1!$E$6</c:f>
              <c:numCache>
                <c:formatCode>General</c:formatCode>
                <c:ptCount val="1"/>
                <c:pt idx="0">
                  <c:v>2550000</c:v>
                </c:pt>
              </c:numCache>
            </c:numRef>
          </c:val>
        </c:ser>
        <c:ser>
          <c:idx val="19"/>
          <c:order val="19"/>
          <c:invertIfNegative val="0"/>
          <c:val>
            <c:numRef>
              <c:f>Sheet1!$E$5</c:f>
              <c:numCache>
                <c:formatCode>General</c:formatCode>
                <c:ptCount val="1"/>
                <c:pt idx="0">
                  <c:v>2700000</c:v>
                </c:pt>
              </c:numCache>
            </c:numRef>
          </c:val>
        </c:ser>
        <c:ser>
          <c:idx val="20"/>
          <c:order val="20"/>
          <c:invertIfNegative val="0"/>
          <c:val>
            <c:numRef>
              <c:f>Sheet1!$E$7</c:f>
              <c:numCache>
                <c:formatCode>General</c:formatCode>
                <c:ptCount val="1"/>
                <c:pt idx="0">
                  <c:v>1800000</c:v>
                </c:pt>
              </c:numCache>
            </c:numRef>
          </c:val>
        </c:ser>
        <c:ser>
          <c:idx val="21"/>
          <c:order val="21"/>
          <c:invertIfNegative val="0"/>
          <c:val>
            <c:numRef>
              <c:f>Sheet1!$E$9</c:f>
              <c:numCache>
                <c:formatCode>General</c:formatCode>
                <c:ptCount val="1"/>
                <c:pt idx="0">
                  <c:v>1300000</c:v>
                </c:pt>
              </c:numCache>
            </c:numRef>
          </c:val>
        </c:ser>
        <c:ser>
          <c:idx val="22"/>
          <c:order val="22"/>
          <c:invertIfNegative val="0"/>
          <c:val>
            <c:numRef>
              <c:f>Sheet1!$E$8</c:f>
              <c:numCache>
                <c:formatCode>General</c:formatCode>
                <c:ptCount val="1"/>
                <c:pt idx="0">
                  <c:v>1300000</c:v>
                </c:pt>
              </c:numCache>
            </c:numRef>
          </c:val>
        </c:ser>
        <c:ser>
          <c:idx val="23"/>
          <c:order val="23"/>
          <c:invertIfNegative val="0"/>
          <c:val>
            <c:numRef>
              <c:f>Sheet1!$E$10</c:f>
              <c:numCache>
                <c:formatCode>General</c:formatCode>
                <c:ptCount val="1"/>
                <c:pt idx="0">
                  <c:v>650000</c:v>
                </c:pt>
              </c:numCache>
            </c:numRef>
          </c:val>
        </c:ser>
        <c:ser>
          <c:idx val="24"/>
          <c:order val="24"/>
          <c:invertIfNegative val="0"/>
          <c:val>
            <c:numRef>
              <c:f>Sheet1!$E$11</c:f>
              <c:numCache>
                <c:formatCode>General</c:formatCode>
                <c:ptCount val="1"/>
                <c:pt idx="0">
                  <c:v>850000</c:v>
                </c:pt>
              </c:numCache>
            </c:numRef>
          </c:val>
        </c:ser>
        <c:ser>
          <c:idx val="25"/>
          <c:order val="25"/>
          <c:invertIfNegative val="0"/>
          <c:val>
            <c:numRef>
              <c:f>Sheet1!$E$13</c:f>
              <c:numCache>
                <c:formatCode>General</c:formatCode>
                <c:ptCount val="1"/>
              </c:numCache>
            </c:numRef>
          </c:val>
        </c:ser>
        <c:ser>
          <c:idx val="26"/>
          <c:order val="26"/>
          <c:invertIfNegative val="0"/>
          <c:val>
            <c:numRef>
              <c:f>Sheet1!$E$12</c:f>
              <c:numCache>
                <c:formatCode>General</c:formatCode>
                <c:ptCount val="1"/>
                <c:pt idx="0">
                  <c:v>17850000</c:v>
                </c:pt>
              </c:numCache>
            </c:numRef>
          </c:val>
        </c:ser>
        <c:ser>
          <c:idx val="27"/>
          <c:order val="27"/>
          <c:invertIfNegative val="0"/>
          <c:val>
            <c:numRef>
              <c:f>Sheet1!$E$8</c:f>
              <c:numCache>
                <c:formatCode>General</c:formatCode>
                <c:ptCount val="1"/>
                <c:pt idx="0">
                  <c:v>1300000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23744"/>
        <c:axId val="167168256"/>
      </c:barChart>
      <c:catAx>
        <c:axId val="197023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67168256"/>
        <c:crosses val="autoZero"/>
        <c:auto val="1"/>
        <c:lblAlgn val="ctr"/>
        <c:lblOffset val="100"/>
        <c:noMultiLvlLbl val="0"/>
      </c:catAx>
      <c:valAx>
        <c:axId val="167168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023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(Sheet1!$A$17,Sheet1!$A$18,Sheet1!$A$19,Sheet1!$A$20)</c:f>
              <c:strCache>
                <c:ptCount val="4"/>
                <c:pt idx="0">
                  <c:v>London</c:v>
                </c:pt>
                <c:pt idx="1">
                  <c:v>Paris</c:v>
                </c:pt>
                <c:pt idx="2">
                  <c:v>Dubai</c:v>
                </c:pt>
                <c:pt idx="3">
                  <c:v>Accra</c:v>
                </c:pt>
              </c:strCache>
            </c:strRef>
          </c:cat>
          <c:val>
            <c:numRef>
              <c:f>(Sheet1!$D$17,Sheet1!$D$18,Sheet1!$D$19,Sheet1!$D$20)</c:f>
              <c:numCache>
                <c:formatCode>General</c:formatCode>
                <c:ptCount val="4"/>
                <c:pt idx="0">
                  <c:v>1350000</c:v>
                </c:pt>
                <c:pt idx="1">
                  <c:v>900000</c:v>
                </c:pt>
                <c:pt idx="2">
                  <c:v>750000</c:v>
                </c:pt>
                <c:pt idx="3">
                  <c:v>490000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7025280"/>
        <c:axId val="167170560"/>
      </c:barChart>
      <c:catAx>
        <c:axId val="19702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Destination</a:t>
                </a:r>
              </a:p>
            </c:rich>
          </c:tx>
          <c:overlay val="0"/>
        </c:title>
        <c:majorTickMark val="out"/>
        <c:minorTickMark val="none"/>
        <c:tickLblPos val="nextTo"/>
        <c:crossAx val="167170560"/>
        <c:crosses val="autoZero"/>
        <c:auto val="1"/>
        <c:lblAlgn val="ctr"/>
        <c:lblOffset val="100"/>
        <c:noMultiLvlLbl val="0"/>
      </c:catAx>
      <c:valAx>
        <c:axId val="167170560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025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519112</xdr:colOff>
      <xdr:row>3</xdr:row>
      <xdr:rowOff>138112</xdr:rowOff>
    </xdr:from>
    <xdr:to>
      <xdr:col>36</xdr:col>
      <xdr:colOff>214312</xdr:colOff>
      <xdr:row>18</xdr:row>
      <xdr:rowOff>23812</xdr:rowOff>
    </xdr:to>
    <xdr:graphicFrame macro="">
      <xdr:nvGraphicFramePr>
        <xdr:cNvPr id="8" name="destination vs profi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538161</xdr:colOff>
      <xdr:row>0</xdr:row>
      <xdr:rowOff>109536</xdr:rowOff>
    </xdr:from>
    <xdr:to>
      <xdr:col>27</xdr:col>
      <xdr:colOff>523874</xdr:colOff>
      <xdr:row>21</xdr:row>
      <xdr:rowOff>123825</xdr:rowOff>
    </xdr:to>
    <xdr:graphicFrame macro="">
      <xdr:nvGraphicFramePr>
        <xdr:cNvPr id="2" name="Travel Profit by Destin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0.12188</cdr:x>
      <cdr:y>0.85938</cdr:y>
    </cdr:from>
    <cdr:to>
      <cdr:x>0.32188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57213" y="2357438"/>
          <a:ext cx="914400" cy="3857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0.02064</cdr:x>
      <cdr:y>0.80308</cdr:y>
    </cdr:from>
    <cdr:to>
      <cdr:x>0.72669</cdr:x>
      <cdr:y>0.98577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8114" y="3224214"/>
          <a:ext cx="4724399" cy="733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London generates the highest total profit.</a:t>
          </a:r>
        </a:p>
        <a:p xmlns:a="http://schemas.openxmlformats.org/drawingml/2006/main">
          <a:r>
            <a:rPr lang="en-US" sz="1100"/>
            <a:t>Dubai</a:t>
          </a:r>
          <a:r>
            <a:rPr lang="en-US" sz="1100" baseline="0"/>
            <a:t> has the highest profit margin.</a:t>
          </a:r>
        </a:p>
        <a:p xmlns:a="http://schemas.openxmlformats.org/drawingml/2006/main">
          <a:r>
            <a:rPr lang="en-US" sz="1100" baseline="0"/>
            <a:t>Accra has the lowest total profit,so its costs and sales perfomance are worth investigating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Normal="100" workbookViewId="0">
      <selection activeCell="O8" sqref="O8"/>
    </sheetView>
  </sheetViews>
  <sheetFormatPr defaultRowHeight="15" x14ac:dyDescent="0.25"/>
  <cols>
    <col min="3" max="3" width="8.85546875" customWidth="1"/>
  </cols>
  <sheetData>
    <row r="1" spans="1:15" x14ac:dyDescent="0.25">
      <c r="A1" t="s">
        <v>0</v>
      </c>
      <c r="B1" t="s">
        <v>22</v>
      </c>
      <c r="C1" t="s">
        <v>21</v>
      </c>
      <c r="D1" t="s">
        <v>18</v>
      </c>
      <c r="E1" t="s">
        <v>1</v>
      </c>
      <c r="F1" t="s">
        <v>16</v>
      </c>
      <c r="G1" t="s">
        <v>17</v>
      </c>
      <c r="H1" t="s">
        <v>19</v>
      </c>
      <c r="I1" s="1" t="s">
        <v>20</v>
      </c>
      <c r="J1" t="s">
        <v>37</v>
      </c>
      <c r="K1" t="s">
        <v>38</v>
      </c>
      <c r="L1" t="s">
        <v>40</v>
      </c>
      <c r="M1" t="s">
        <v>42</v>
      </c>
      <c r="N1" t="s">
        <v>43</v>
      </c>
      <c r="O1" t="s">
        <v>49</v>
      </c>
    </row>
    <row r="2" spans="1:15" x14ac:dyDescent="0.25">
      <c r="A2" t="s">
        <v>11</v>
      </c>
      <c r="B2" t="s">
        <v>12</v>
      </c>
      <c r="C2">
        <v>850000</v>
      </c>
      <c r="D2">
        <v>5</v>
      </c>
      <c r="E2">
        <f t="shared" ref="E2:E11" si="0">C2*D2</f>
        <v>4250000</v>
      </c>
      <c r="F2">
        <v>700000</v>
      </c>
      <c r="G2">
        <f t="shared" ref="G2:G11" si="1">F2*D2</f>
        <v>3500000</v>
      </c>
      <c r="H2">
        <f t="shared" ref="H2:H11" si="2">E2-G2</f>
        <v>750000</v>
      </c>
      <c r="I2" s="1">
        <f>H2/E2</f>
        <v>0.17647058823529413</v>
      </c>
      <c r="J2" t="str">
        <f>IF(H2&gt;=500000,"High",IF(H2&gt;=300000,"Monitor","Low"))</f>
        <v>High</v>
      </c>
      <c r="K2">
        <f>SUMIF(B2:B11,"London",H2:H11)</f>
        <v>1350000</v>
      </c>
      <c r="L2">
        <f>RANK(D17,D17:D20,0)</f>
        <v>1</v>
      </c>
      <c r="M2" t="str">
        <f>IF(COUNTIF(A2:A11,A2)&gt;1,"Check Duplicate","OK")</f>
        <v>OK</v>
      </c>
      <c r="N2" t="s">
        <v>44</v>
      </c>
      <c r="O2">
        <f>COUNTBLANK(B2:B11)</f>
        <v>0</v>
      </c>
    </row>
    <row r="3" spans="1:15" x14ac:dyDescent="0.25">
      <c r="A3" t="s">
        <v>4</v>
      </c>
      <c r="B3" t="s">
        <v>14</v>
      </c>
      <c r="C3">
        <v>350000</v>
      </c>
      <c r="D3">
        <v>4</v>
      </c>
      <c r="E3">
        <f t="shared" si="0"/>
        <v>1400000</v>
      </c>
      <c r="F3">
        <v>280000</v>
      </c>
      <c r="G3">
        <f t="shared" si="1"/>
        <v>1120000</v>
      </c>
      <c r="H3">
        <f t="shared" si="2"/>
        <v>280000</v>
      </c>
      <c r="I3" s="1">
        <f t="shared" ref="I3:I11" si="3">H3/E3</f>
        <v>0.2</v>
      </c>
      <c r="J3" t="str">
        <f t="shared" ref="J3:J11" si="4">IF(H3&gt;=500000,"High",IF(H3&gt;=300000,"Monitor","Low"))</f>
        <v>Low</v>
      </c>
      <c r="K3">
        <f>SUMIF(B3:B12,"Accra",H3:H12)</f>
        <v>490000</v>
      </c>
      <c r="L3">
        <v>4</v>
      </c>
      <c r="M3" t="str">
        <f t="shared" ref="M3:M11" si="5">IF(COUNTIF(A3:A12,A3)&gt;1,"Check Duplicate","OK")</f>
        <v>OK</v>
      </c>
      <c r="N3" t="s">
        <v>45</v>
      </c>
      <c r="O3">
        <f>COUNTBLANK(C1:C2)</f>
        <v>0</v>
      </c>
    </row>
    <row r="4" spans="1:15" x14ac:dyDescent="0.25">
      <c r="A4" t="s">
        <v>8</v>
      </c>
      <c r="B4" t="s">
        <v>14</v>
      </c>
      <c r="C4">
        <v>350000</v>
      </c>
      <c r="D4">
        <v>3</v>
      </c>
      <c r="E4">
        <f t="shared" si="0"/>
        <v>1050000</v>
      </c>
      <c r="F4">
        <v>280000</v>
      </c>
      <c r="G4">
        <f t="shared" si="1"/>
        <v>840000</v>
      </c>
      <c r="H4">
        <f t="shared" si="2"/>
        <v>210000</v>
      </c>
      <c r="I4" s="1">
        <f t="shared" si="3"/>
        <v>0.2</v>
      </c>
      <c r="J4" t="str">
        <f t="shared" si="4"/>
        <v>Low</v>
      </c>
      <c r="K4">
        <f>SUMIF(B4:B13,"Accra",H4:H13)</f>
        <v>210000</v>
      </c>
      <c r="M4" t="str">
        <f t="shared" si="5"/>
        <v>OK</v>
      </c>
      <c r="N4" t="s">
        <v>46</v>
      </c>
      <c r="O4">
        <f>COUNTBLANK(E2:E11)</f>
        <v>0</v>
      </c>
    </row>
    <row r="5" spans="1:15" x14ac:dyDescent="0.25">
      <c r="A5" t="s">
        <v>7</v>
      </c>
      <c r="B5" t="s">
        <v>15</v>
      </c>
      <c r="C5">
        <v>900000</v>
      </c>
      <c r="D5">
        <v>3</v>
      </c>
      <c r="E5">
        <f t="shared" si="0"/>
        <v>2700000</v>
      </c>
      <c r="F5">
        <v>720000</v>
      </c>
      <c r="G5">
        <f t="shared" si="1"/>
        <v>2160000</v>
      </c>
      <c r="H5">
        <f t="shared" si="2"/>
        <v>540000</v>
      </c>
      <c r="I5" s="1">
        <f t="shared" si="3"/>
        <v>0.2</v>
      </c>
      <c r="J5" t="str">
        <f t="shared" si="4"/>
        <v>High</v>
      </c>
      <c r="K5">
        <f>SUMIF(B5:B14,"Paris",H5:H14)</f>
        <v>900000</v>
      </c>
      <c r="L5">
        <f t="shared" ref="L5" si="6">RANK(D20,D20:D23,0)</f>
        <v>2</v>
      </c>
      <c r="M5" t="str">
        <f t="shared" si="5"/>
        <v>OK</v>
      </c>
      <c r="N5" t="s">
        <v>47</v>
      </c>
      <c r="O5">
        <f>COUNTBLANK(H2:H11)</f>
        <v>0</v>
      </c>
    </row>
    <row r="6" spans="1:15" x14ac:dyDescent="0.25">
      <c r="A6" t="s">
        <v>2</v>
      </c>
      <c r="B6" t="s">
        <v>12</v>
      </c>
      <c r="C6">
        <v>850000</v>
      </c>
      <c r="D6">
        <v>3</v>
      </c>
      <c r="E6">
        <f t="shared" si="0"/>
        <v>2550000</v>
      </c>
      <c r="F6">
        <v>700000</v>
      </c>
      <c r="G6">
        <f t="shared" si="1"/>
        <v>2100000</v>
      </c>
      <c r="H6">
        <f t="shared" si="2"/>
        <v>450000</v>
      </c>
      <c r="I6" s="1">
        <f t="shared" si="3"/>
        <v>0.17647058823529413</v>
      </c>
      <c r="J6" t="str">
        <f t="shared" si="4"/>
        <v>Monitor</v>
      </c>
      <c r="K6">
        <f t="shared" ref="K6" si="7">SUMIF(B6:B15,"London",H6:H15)</f>
        <v>600000</v>
      </c>
      <c r="M6" t="str">
        <f t="shared" si="5"/>
        <v>OK</v>
      </c>
      <c r="N6" t="s">
        <v>48</v>
      </c>
      <c r="O6">
        <v>26</v>
      </c>
    </row>
    <row r="7" spans="1:15" x14ac:dyDescent="0.25">
      <c r="A7" t="s">
        <v>10</v>
      </c>
      <c r="B7" t="s">
        <v>15</v>
      </c>
      <c r="C7">
        <v>900000</v>
      </c>
      <c r="D7">
        <v>2</v>
      </c>
      <c r="E7">
        <f t="shared" si="0"/>
        <v>1800000</v>
      </c>
      <c r="F7">
        <v>720000</v>
      </c>
      <c r="G7">
        <f t="shared" si="1"/>
        <v>1440000</v>
      </c>
      <c r="H7">
        <f t="shared" si="2"/>
        <v>360000</v>
      </c>
      <c r="I7" s="1">
        <f t="shared" si="3"/>
        <v>0.2</v>
      </c>
      <c r="J7" t="str">
        <f t="shared" si="4"/>
        <v>Monitor</v>
      </c>
      <c r="K7">
        <f>SUMIF(B7:B16,"Paris",H7:H16)</f>
        <v>360000</v>
      </c>
      <c r="M7" t="str">
        <f t="shared" si="5"/>
        <v>OK</v>
      </c>
      <c r="N7" t="s">
        <v>1</v>
      </c>
      <c r="O7">
        <v>17850000</v>
      </c>
    </row>
    <row r="8" spans="1:15" x14ac:dyDescent="0.25">
      <c r="A8" t="s">
        <v>3</v>
      </c>
      <c r="B8" t="s">
        <v>13</v>
      </c>
      <c r="C8">
        <v>650000</v>
      </c>
      <c r="D8">
        <v>2</v>
      </c>
      <c r="E8">
        <f t="shared" si="0"/>
        <v>1300000</v>
      </c>
      <c r="F8">
        <v>500000</v>
      </c>
      <c r="G8">
        <f t="shared" si="1"/>
        <v>1000000</v>
      </c>
      <c r="H8">
        <f t="shared" si="2"/>
        <v>300000</v>
      </c>
      <c r="I8" s="1">
        <f t="shared" si="3"/>
        <v>0.23076923076923078</v>
      </c>
      <c r="J8" t="str">
        <f t="shared" si="4"/>
        <v>Monitor</v>
      </c>
      <c r="K8">
        <f>SUMIF(B8:B17,"Dubai",H8:H17)</f>
        <v>750000</v>
      </c>
      <c r="L8">
        <v>3</v>
      </c>
      <c r="M8" t="str">
        <f t="shared" si="5"/>
        <v>OK</v>
      </c>
      <c r="N8" t="s">
        <v>50</v>
      </c>
      <c r="O8">
        <v>3490000</v>
      </c>
    </row>
    <row r="9" spans="1:15" x14ac:dyDescent="0.25">
      <c r="A9" t="s">
        <v>9</v>
      </c>
      <c r="B9" t="s">
        <v>13</v>
      </c>
      <c r="C9">
        <v>650000</v>
      </c>
      <c r="D9">
        <v>2</v>
      </c>
      <c r="E9">
        <f t="shared" si="0"/>
        <v>1300000</v>
      </c>
      <c r="F9">
        <v>500000</v>
      </c>
      <c r="G9">
        <f t="shared" si="1"/>
        <v>1000000</v>
      </c>
      <c r="H9">
        <f t="shared" si="2"/>
        <v>300000</v>
      </c>
      <c r="I9" s="1">
        <f t="shared" si="3"/>
        <v>0.23076923076923078</v>
      </c>
      <c r="J9" t="str">
        <f t="shared" si="4"/>
        <v>Monitor</v>
      </c>
      <c r="K9">
        <f>SUMIF(B9:B18,"Dubai",H9:H18)</f>
        <v>450000</v>
      </c>
      <c r="M9" t="str">
        <f t="shared" si="5"/>
        <v>OK</v>
      </c>
    </row>
    <row r="10" spans="1:15" x14ac:dyDescent="0.25">
      <c r="A10" t="s">
        <v>6</v>
      </c>
      <c r="B10" t="s">
        <v>13</v>
      </c>
      <c r="C10">
        <v>650000</v>
      </c>
      <c r="D10">
        <v>1</v>
      </c>
      <c r="E10">
        <f t="shared" si="0"/>
        <v>650000</v>
      </c>
      <c r="F10">
        <v>500000</v>
      </c>
      <c r="G10">
        <f t="shared" si="1"/>
        <v>500000</v>
      </c>
      <c r="H10">
        <f t="shared" si="2"/>
        <v>150000</v>
      </c>
      <c r="I10" s="1">
        <f t="shared" si="3"/>
        <v>0.23076923076923078</v>
      </c>
      <c r="J10" t="str">
        <f t="shared" si="4"/>
        <v>Low</v>
      </c>
      <c r="K10">
        <f>SUMIF(B10:B19,"Dubai",H10:H19)</f>
        <v>150000</v>
      </c>
      <c r="M10" t="str">
        <f t="shared" si="5"/>
        <v>OK</v>
      </c>
    </row>
    <row r="11" spans="1:15" x14ac:dyDescent="0.25">
      <c r="A11" t="s">
        <v>5</v>
      </c>
      <c r="B11" t="s">
        <v>12</v>
      </c>
      <c r="C11">
        <v>850000</v>
      </c>
      <c r="D11">
        <v>1</v>
      </c>
      <c r="E11">
        <f t="shared" si="0"/>
        <v>850000</v>
      </c>
      <c r="F11">
        <v>700000</v>
      </c>
      <c r="G11">
        <f t="shared" si="1"/>
        <v>700000</v>
      </c>
      <c r="H11">
        <f t="shared" si="2"/>
        <v>150000</v>
      </c>
      <c r="I11" s="1">
        <f t="shared" si="3"/>
        <v>0.17647058823529413</v>
      </c>
      <c r="J11" t="str">
        <f t="shared" si="4"/>
        <v>Low</v>
      </c>
      <c r="K11">
        <f>SUMIF(B11:B20,"London",H11:H20)</f>
        <v>150000</v>
      </c>
      <c r="M11" t="str">
        <f t="shared" si="5"/>
        <v>OK</v>
      </c>
    </row>
    <row r="12" spans="1:15" x14ac:dyDescent="0.25">
      <c r="C12">
        <f>AVERAGE(C2:C11)</f>
        <v>700000</v>
      </c>
      <c r="D12">
        <f>SUM(D2:D11)</f>
        <v>26</v>
      </c>
      <c r="E12">
        <f>SUM(E2:E11)</f>
        <v>17850000</v>
      </c>
      <c r="F12">
        <f>SUM(F2:F11)</f>
        <v>5600000</v>
      </c>
      <c r="G12">
        <f>SUM(G2:G11)</f>
        <v>14360000</v>
      </c>
      <c r="H12">
        <f>SUM(H2:H11)</f>
        <v>3490000</v>
      </c>
    </row>
    <row r="13" spans="1:15" x14ac:dyDescent="0.25">
      <c r="C13">
        <f>SUM(C2:C11)</f>
        <v>7000000</v>
      </c>
      <c r="D13">
        <v>2.6</v>
      </c>
    </row>
    <row r="14" spans="1:15" x14ac:dyDescent="0.25">
      <c r="C14">
        <f>MIN(C2:C11)</f>
        <v>350000</v>
      </c>
      <c r="K14" t="s">
        <v>26</v>
      </c>
    </row>
    <row r="15" spans="1:15" x14ac:dyDescent="0.25">
      <c r="C15">
        <v>900000</v>
      </c>
      <c r="K15" t="s">
        <v>27</v>
      </c>
    </row>
    <row r="16" spans="1:15" x14ac:dyDescent="0.25">
      <c r="A16" t="s">
        <v>22</v>
      </c>
      <c r="B16" t="s">
        <v>23</v>
      </c>
      <c r="C16" t="s">
        <v>24</v>
      </c>
      <c r="D16" t="s">
        <v>19</v>
      </c>
      <c r="E16" t="s">
        <v>25</v>
      </c>
      <c r="F16" t="s">
        <v>33</v>
      </c>
      <c r="G16" t="s">
        <v>41</v>
      </c>
      <c r="K16" t="s">
        <v>28</v>
      </c>
    </row>
    <row r="17" spans="1:11" x14ac:dyDescent="0.25">
      <c r="A17" t="s">
        <v>12</v>
      </c>
      <c r="B17">
        <v>9</v>
      </c>
      <c r="C17">
        <v>7650000</v>
      </c>
      <c r="D17">
        <v>1350000</v>
      </c>
      <c r="E17" s="2">
        <v>0.17649999999999999</v>
      </c>
      <c r="F17" s="4" t="s">
        <v>34</v>
      </c>
      <c r="G17" t="str">
        <f>IF(A17&gt;23%,"Strong Margin",IF(A17&gt;20%,"Moderate Margin","ReviewMargin"))</f>
        <v>Strong Margin</v>
      </c>
      <c r="K17" t="s">
        <v>29</v>
      </c>
    </row>
    <row r="18" spans="1:11" x14ac:dyDescent="0.25">
      <c r="A18" t="s">
        <v>15</v>
      </c>
      <c r="B18">
        <v>7</v>
      </c>
      <c r="C18">
        <v>4500000</v>
      </c>
      <c r="D18">
        <v>900000</v>
      </c>
      <c r="E18" s="3">
        <v>0.2</v>
      </c>
      <c r="F18" s="4" t="s">
        <v>35</v>
      </c>
      <c r="G18" t="str">
        <f t="shared" ref="G18:G20" si="8">IF(A18&gt;23%,"Strong Margin",IF(A18&gt;20%,"Moderate Margin","ReviewMargin"))</f>
        <v>Strong Margin</v>
      </c>
      <c r="K18" t="s">
        <v>30</v>
      </c>
    </row>
    <row r="19" spans="1:11" x14ac:dyDescent="0.25">
      <c r="A19" t="s">
        <v>13</v>
      </c>
      <c r="B19">
        <v>5</v>
      </c>
      <c r="C19">
        <v>3250000</v>
      </c>
      <c r="D19">
        <v>750000</v>
      </c>
      <c r="E19" s="3">
        <v>0.2</v>
      </c>
      <c r="F19" s="4" t="s">
        <v>34</v>
      </c>
      <c r="G19" t="str">
        <f t="shared" si="8"/>
        <v>Strong Margin</v>
      </c>
      <c r="K19" t="s">
        <v>31</v>
      </c>
    </row>
    <row r="20" spans="1:11" x14ac:dyDescent="0.25">
      <c r="A20" t="s">
        <v>14</v>
      </c>
      <c r="B20">
        <v>5</v>
      </c>
      <c r="C20">
        <v>2450000</v>
      </c>
      <c r="D20">
        <v>490000</v>
      </c>
      <c r="E20" s="2">
        <v>0.23080000000000001</v>
      </c>
      <c r="F20" s="4" t="s">
        <v>36</v>
      </c>
      <c r="G20" t="str">
        <f t="shared" si="8"/>
        <v>Strong Margin</v>
      </c>
      <c r="K20" t="s">
        <v>32</v>
      </c>
    </row>
    <row r="21" spans="1:11" x14ac:dyDescent="0.25">
      <c r="A21" t="s">
        <v>39</v>
      </c>
      <c r="B21">
        <v>26</v>
      </c>
      <c r="C21">
        <v>17850000</v>
      </c>
      <c r="D21">
        <v>34900000</v>
      </c>
      <c r="E21" s="2">
        <v>0.19550000000000001</v>
      </c>
    </row>
  </sheetData>
  <sortState ref="A17:H20">
    <sortCondition descending="1" ref="D17:D20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51</v>
      </c>
    </row>
    <row r="3" spans="1:2" x14ac:dyDescent="0.25">
      <c r="A3" t="s">
        <v>52</v>
      </c>
      <c r="B3">
        <f>SUM(Sheet1!D2:D11)</f>
        <v>26</v>
      </c>
    </row>
    <row r="4" spans="1:2" x14ac:dyDescent="0.25">
      <c r="A4" t="s">
        <v>53</v>
      </c>
      <c r="B4">
        <f>SUM(Sheet1!E2:E11)</f>
        <v>17850000</v>
      </c>
    </row>
    <row r="5" spans="1:2" x14ac:dyDescent="0.25">
      <c r="A5" t="s">
        <v>54</v>
      </c>
      <c r="B5">
        <f>SUM(Sheet1!H2:H11)</f>
        <v>3490000</v>
      </c>
    </row>
    <row r="6" spans="1:2" x14ac:dyDescent="0.25">
      <c r="A6" t="s">
        <v>55</v>
      </c>
      <c r="B6">
        <f>AVERAGE(Sheet1!D17:D20)</f>
        <v>872500</v>
      </c>
    </row>
    <row r="7" spans="1:2" x14ac:dyDescent="0.25">
      <c r="A7" t="s">
        <v>56</v>
      </c>
      <c r="B7">
        <f>B5/B4*100</f>
        <v>19.551820728291318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adeyinka ogunleye</dc:creator>
  <cp:lastModifiedBy>adeyinka ogunleye</cp:lastModifiedBy>
  <dcterms:created xsi:type="dcterms:W3CDTF">2026-09-16T14:56:43Z</dcterms:created>
  <dcterms:modified xsi:type="dcterms:W3CDTF">2026-10-26T18:09:25Z</dcterms:modified>
</cp:coreProperties>
</file>